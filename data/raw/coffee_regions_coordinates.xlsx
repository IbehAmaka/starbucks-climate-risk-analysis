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limate/Data/"/>
    </mc:Choice>
  </mc:AlternateContent>
  <xr:revisionPtr revIDLastSave="52" documentId="8_{5216F81D-3966-48EE-855B-8372BBCB3FB0}" xr6:coauthVersionLast="47" xr6:coauthVersionMax="47" xr10:uidLastSave="{38F65159-C223-4709-8D2A-725ECB9E7384}"/>
  <bookViews>
    <workbookView xWindow="-28920" yWindow="-1335" windowWidth="29040" windowHeight="15720" xr2:uid="{1D544E2B-828D-4761-BA9B-70263C55B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</calcChain>
</file>

<file path=xl/sharedStrings.xml><?xml version="1.0" encoding="utf-8"?>
<sst xmlns="http://schemas.openxmlformats.org/spreadsheetml/2006/main" count="153" uniqueCount="111">
  <si>
    <t>country</t>
  </si>
  <si>
    <t>region_name</t>
  </si>
  <si>
    <t>latitude</t>
  </si>
  <si>
    <t>longitude</t>
  </si>
  <si>
    <t>elevation_m_low</t>
  </si>
  <si>
    <t>elevation_m_high</t>
  </si>
  <si>
    <t>sourcing_pct_midpoint</t>
  </si>
  <si>
    <t>annual_mt_midpoint</t>
  </si>
  <si>
    <t>baseline_temp_c</t>
  </si>
  <si>
    <t>baseline_precip_mm</t>
  </si>
  <si>
    <t>region_type</t>
  </si>
  <si>
    <t>admin_region</t>
  </si>
  <si>
    <t>cmip6_grid_cell_id</t>
  </si>
  <si>
    <t>Colombia</t>
  </si>
  <si>
    <t>Huila</t>
  </si>
  <si>
    <t>primary</t>
  </si>
  <si>
    <t>Huila Department</t>
  </si>
  <si>
    <t>lat_2.5_lon_-75.8</t>
  </si>
  <si>
    <t>Antioquia</t>
  </si>
  <si>
    <t>Antioquia Department</t>
  </si>
  <si>
    <t>lat_6.2_lon_-75.6</t>
  </si>
  <si>
    <t>Tolima</t>
  </si>
  <si>
    <t>Tolima Department</t>
  </si>
  <si>
    <t>lat_4.5_lon_-75.2</t>
  </si>
  <si>
    <t>Cauca</t>
  </si>
  <si>
    <t>secondary</t>
  </si>
  <si>
    <t>Cauca Department</t>
  </si>
  <si>
    <t>lat_2.8_lon_-76.5</t>
  </si>
  <si>
    <t>Brazil</t>
  </si>
  <si>
    <t>Minas Gerais Sul</t>
  </si>
  <si>
    <t>Minas Gerais State</t>
  </si>
  <si>
    <t>lat_-21.5_lon_-45.5</t>
  </si>
  <si>
    <t>São Paulo</t>
  </si>
  <si>
    <t>São Paulo State</t>
  </si>
  <si>
    <t>lat_-22.8_lon_-47.2</t>
  </si>
  <si>
    <t>Espírito Santo</t>
  </si>
  <si>
    <t>Espírito Santo State</t>
  </si>
  <si>
    <t>lat_-19.5_lon_-40.8</t>
  </si>
  <si>
    <t>Guatemala</t>
  </si>
  <si>
    <t>Huehuetenango</t>
  </si>
  <si>
    <t>Huehuetenango Department</t>
  </si>
  <si>
    <t>lat_15.5_lon_-91.5</t>
  </si>
  <si>
    <t>Antigua</t>
  </si>
  <si>
    <t>Sacatepéquez Department</t>
  </si>
  <si>
    <t>lat_14.6_lon_-90.7</t>
  </si>
  <si>
    <t>Atitlán</t>
  </si>
  <si>
    <t>Sololá Department</t>
  </si>
  <si>
    <t>lat_14.7_lon_-91.2</t>
  </si>
  <si>
    <t>Ethiopia</t>
  </si>
  <si>
    <t>Yirgacheffe</t>
  </si>
  <si>
    <t>Gedeo Zone SNNPR</t>
  </si>
  <si>
    <t>lat_6.2_lon_38.2</t>
  </si>
  <si>
    <t>Sidamo</t>
  </si>
  <si>
    <t>Sidama Region</t>
  </si>
  <si>
    <t>lat_6.5_lon_38.5</t>
  </si>
  <si>
    <t>Harrar</t>
  </si>
  <si>
    <t>Harari Region</t>
  </si>
  <si>
    <t>lat_9.3_lon_42.1</t>
  </si>
  <si>
    <t>Kaffa</t>
  </si>
  <si>
    <t>Kaffa Zone SNNPR</t>
  </si>
  <si>
    <t>lat_7.3_lon_36.2</t>
  </si>
  <si>
    <t>Kenya</t>
  </si>
  <si>
    <t>Central Highlands</t>
  </si>
  <si>
    <t>Nyeri Kirinyaga Counties</t>
  </si>
  <si>
    <t>lat_-0.5_lon_37.0</t>
  </si>
  <si>
    <t>Rift Valley</t>
  </si>
  <si>
    <t>Nakuru County</t>
  </si>
  <si>
    <t>lat_-0.2_lon_35.8</t>
  </si>
  <si>
    <t>Costa Rica</t>
  </si>
  <si>
    <t>Tarrazú</t>
  </si>
  <si>
    <t>San José Province</t>
  </si>
  <si>
    <t>lat_9.6_lon_-84.0</t>
  </si>
  <si>
    <t>West Valley</t>
  </si>
  <si>
    <t>Alajuela Province</t>
  </si>
  <si>
    <t>lat_10.0_lon_-84.4</t>
  </si>
  <si>
    <t>Mexico</t>
  </si>
  <si>
    <t>Chiapas</t>
  </si>
  <si>
    <t>Chiapas State</t>
  </si>
  <si>
    <t>lat_15.2_lon_-92.5</t>
  </si>
  <si>
    <t>Veracruz</t>
  </si>
  <si>
    <t>Veracruz State</t>
  </si>
  <si>
    <t>lat_19.5_lon_-97.0</t>
  </si>
  <si>
    <t>Peru</t>
  </si>
  <si>
    <t>Cajamarca</t>
  </si>
  <si>
    <t>Cajamarca Region</t>
  </si>
  <si>
    <t>lat_-6.5_lon_-78.8</t>
  </si>
  <si>
    <t>Honduras</t>
  </si>
  <si>
    <t>Copán</t>
  </si>
  <si>
    <t>Copán Department</t>
  </si>
  <si>
    <t>lat_14.8_lon_-88.8</t>
  </si>
  <si>
    <t>Rwanda</t>
  </si>
  <si>
    <t>Northern Province</t>
  </si>
  <si>
    <t>lat_-1.7_lon_29.7</t>
  </si>
  <si>
    <t>Tanzania</t>
  </si>
  <si>
    <t>Kilimanjaro</t>
  </si>
  <si>
    <t>Kilimanjaro Region</t>
  </si>
  <si>
    <t>lat_-3.4_lon_37.3</t>
  </si>
  <si>
    <t>Indonesia</t>
  </si>
  <si>
    <t>Sumatra Aceh</t>
  </si>
  <si>
    <t>Aceh Province</t>
  </si>
  <si>
    <t>lat_4.5_lon_96.8</t>
  </si>
  <si>
    <t>Java West</t>
  </si>
  <si>
    <t>West Java Province</t>
  </si>
  <si>
    <t>lat_-7.0_lon_107.5</t>
  </si>
  <si>
    <t>China</t>
  </si>
  <si>
    <t>Yunnan Pu er</t>
  </si>
  <si>
    <t>Yunnan Province</t>
  </si>
  <si>
    <t>lat_22.8_lon_100.9</t>
  </si>
  <si>
    <t>Vietnam</t>
  </si>
  <si>
    <t>Dak Lak Province</t>
  </si>
  <si>
    <t>lat_12.7_lon_108.0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</si>
</sst>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C253-C563-456B-819F-EA474425F6D9}">
  <dimension ref="A1:M30"/>
  <sheetViews>
    <sheetView tabSelected="1" workbookViewId="0">
      <selection activeCell="H30" sqref="H30"/>
    </sheetView>
  </sheetViews>
  <sheetFormatPr defaultRowHeight="14.4" x14ac:dyDescent="0.3"/>
  <cols>
    <col min="1" max="1" width="28.44140625" customWidth="1"/>
    <col min="2" max="2" width="14.88671875" customWidth="1"/>
    <col min="3" max="3" width="12" customWidth="1"/>
    <col min="4" max="4" width="15.44140625" customWidth="1"/>
    <col min="5" max="5" width="19.5546875" customWidth="1"/>
    <col min="7" max="7" width="23.109375" customWidth="1"/>
    <col min="8" max="8" width="20.88671875" customWidth="1"/>
    <col min="9" max="9" width="20" customWidth="1"/>
    <col min="10" max="10" width="25.44140625" customWidth="1"/>
    <col min="11" max="11" width="19.44140625" customWidth="1"/>
    <col min="12" max="12" width="24" customWidth="1"/>
    <col min="13" max="13" width="19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2.5</v>
      </c>
      <c r="D2">
        <v>-75.8</v>
      </c>
      <c r="E2">
        <v>1400</v>
      </c>
      <c r="F2">
        <v>2000</v>
      </c>
      <c r="G2">
        <v>6</v>
      </c>
      <c r="H2">
        <v>10300</v>
      </c>
      <c r="I2">
        <v>19</v>
      </c>
      <c r="J2">
        <v>2000</v>
      </c>
      <c r="K2" t="s">
        <v>15</v>
      </c>
      <c r="L2" t="s">
        <v>16</v>
      </c>
      <c r="M2" t="s">
        <v>17</v>
      </c>
    </row>
    <row r="3" spans="1:13" x14ac:dyDescent="0.3">
      <c r="A3" t="s">
        <v>13</v>
      </c>
      <c r="B3" t="s">
        <v>18</v>
      </c>
      <c r="C3">
        <v>6.2</v>
      </c>
      <c r="D3">
        <v>-75.599999999999994</v>
      </c>
      <c r="E3">
        <v>1200</v>
      </c>
      <c r="F3">
        <v>1800</v>
      </c>
      <c r="G3">
        <v>5.5</v>
      </c>
      <c r="H3">
        <v>9400</v>
      </c>
      <c r="I3">
        <v>19.5</v>
      </c>
      <c r="J3">
        <v>1900</v>
      </c>
      <c r="K3" t="s">
        <v>15</v>
      </c>
      <c r="L3" t="s">
        <v>19</v>
      </c>
      <c r="M3" t="s">
        <v>20</v>
      </c>
    </row>
    <row r="4" spans="1:13" x14ac:dyDescent="0.3">
      <c r="A4" t="s">
        <v>13</v>
      </c>
      <c r="B4" t="s">
        <v>21</v>
      </c>
      <c r="C4">
        <v>4.5</v>
      </c>
      <c r="D4">
        <v>-75.2</v>
      </c>
      <c r="E4">
        <v>1300</v>
      </c>
      <c r="F4">
        <v>1900</v>
      </c>
      <c r="G4">
        <v>3.5</v>
      </c>
      <c r="H4">
        <v>6000</v>
      </c>
      <c r="I4">
        <v>19.2</v>
      </c>
      <c r="J4">
        <v>1950</v>
      </c>
      <c r="K4" t="s">
        <v>15</v>
      </c>
      <c r="L4" t="s">
        <v>22</v>
      </c>
      <c r="M4" t="s">
        <v>23</v>
      </c>
    </row>
    <row r="5" spans="1:13" x14ac:dyDescent="0.3">
      <c r="A5" t="s">
        <v>13</v>
      </c>
      <c r="B5" t="s">
        <v>24</v>
      </c>
      <c r="C5">
        <v>2.8</v>
      </c>
      <c r="D5">
        <v>-76.5</v>
      </c>
      <c r="E5">
        <v>1500</v>
      </c>
      <c r="F5">
        <v>2100</v>
      </c>
      <c r="G5">
        <v>2.5</v>
      </c>
      <c r="H5">
        <v>4300</v>
      </c>
      <c r="I5">
        <v>18.5</v>
      </c>
      <c r="J5">
        <v>2100</v>
      </c>
      <c r="K5" t="s">
        <v>25</v>
      </c>
      <c r="L5" t="s">
        <v>26</v>
      </c>
      <c r="M5" t="s">
        <v>27</v>
      </c>
    </row>
    <row r="6" spans="1:13" x14ac:dyDescent="0.3">
      <c r="A6" t="s">
        <v>28</v>
      </c>
      <c r="B6" t="s">
        <v>29</v>
      </c>
      <c r="C6">
        <v>-21.5</v>
      </c>
      <c r="D6">
        <v>-45.5</v>
      </c>
      <c r="E6">
        <v>900</v>
      </c>
      <c r="F6">
        <v>1300</v>
      </c>
      <c r="G6">
        <v>8</v>
      </c>
      <c r="H6">
        <v>13700</v>
      </c>
      <c r="I6">
        <v>20.5</v>
      </c>
      <c r="J6">
        <v>1600</v>
      </c>
      <c r="K6" t="s">
        <v>15</v>
      </c>
      <c r="L6" t="s">
        <v>30</v>
      </c>
      <c r="M6" t="s">
        <v>31</v>
      </c>
    </row>
    <row r="7" spans="1:13" x14ac:dyDescent="0.3">
      <c r="A7" t="s">
        <v>28</v>
      </c>
      <c r="B7" t="s">
        <v>32</v>
      </c>
      <c r="C7">
        <v>-22.8</v>
      </c>
      <c r="D7">
        <v>-47.2</v>
      </c>
      <c r="E7">
        <v>800</v>
      </c>
      <c r="F7">
        <v>1200</v>
      </c>
      <c r="G7">
        <v>4</v>
      </c>
      <c r="H7">
        <v>6900</v>
      </c>
      <c r="I7">
        <v>21</v>
      </c>
      <c r="J7">
        <v>1550</v>
      </c>
      <c r="K7" t="s">
        <v>15</v>
      </c>
      <c r="L7" t="s">
        <v>33</v>
      </c>
      <c r="M7" t="s">
        <v>34</v>
      </c>
    </row>
    <row r="8" spans="1:13" x14ac:dyDescent="0.3">
      <c r="A8" t="s">
        <v>28</v>
      </c>
      <c r="B8" t="s">
        <v>35</v>
      </c>
      <c r="C8">
        <v>-19.5</v>
      </c>
      <c r="D8">
        <v>-40.799999999999997</v>
      </c>
      <c r="E8">
        <v>700</v>
      </c>
      <c r="F8">
        <v>1100</v>
      </c>
      <c r="G8">
        <v>3</v>
      </c>
      <c r="H8">
        <v>5200</v>
      </c>
      <c r="I8">
        <v>21.5</v>
      </c>
      <c r="J8">
        <v>1400</v>
      </c>
      <c r="K8" t="s">
        <v>25</v>
      </c>
      <c r="L8" t="s">
        <v>36</v>
      </c>
      <c r="M8" t="s">
        <v>37</v>
      </c>
    </row>
    <row r="9" spans="1:13" x14ac:dyDescent="0.3">
      <c r="A9" t="s">
        <v>38</v>
      </c>
      <c r="B9" t="s">
        <v>39</v>
      </c>
      <c r="C9">
        <v>15.5</v>
      </c>
      <c r="D9">
        <v>-91.5</v>
      </c>
      <c r="E9">
        <v>1500</v>
      </c>
      <c r="F9">
        <v>2000</v>
      </c>
      <c r="G9">
        <v>5</v>
      </c>
      <c r="H9">
        <v>8600</v>
      </c>
      <c r="I9">
        <v>18</v>
      </c>
      <c r="J9">
        <v>1900</v>
      </c>
      <c r="K9" t="s">
        <v>15</v>
      </c>
      <c r="L9" t="s">
        <v>40</v>
      </c>
      <c r="M9" t="s">
        <v>41</v>
      </c>
    </row>
    <row r="10" spans="1:13" x14ac:dyDescent="0.3">
      <c r="A10" t="s">
        <v>38</v>
      </c>
      <c r="B10" t="s">
        <v>42</v>
      </c>
      <c r="C10">
        <v>14.6</v>
      </c>
      <c r="D10">
        <v>-90.7</v>
      </c>
      <c r="E10">
        <v>1400</v>
      </c>
      <c r="F10">
        <v>1800</v>
      </c>
      <c r="G10">
        <v>4</v>
      </c>
      <c r="H10">
        <v>6900</v>
      </c>
      <c r="I10">
        <v>18.8</v>
      </c>
      <c r="J10">
        <v>1800</v>
      </c>
      <c r="K10" t="s">
        <v>15</v>
      </c>
      <c r="L10" t="s">
        <v>43</v>
      </c>
      <c r="M10" t="s">
        <v>44</v>
      </c>
    </row>
    <row r="11" spans="1:13" x14ac:dyDescent="0.3">
      <c r="A11" t="s">
        <v>38</v>
      </c>
      <c r="B11" t="s">
        <v>45</v>
      </c>
      <c r="C11">
        <v>14.7</v>
      </c>
      <c r="D11">
        <v>-91.2</v>
      </c>
      <c r="E11">
        <v>1500</v>
      </c>
      <c r="F11">
        <v>1900</v>
      </c>
      <c r="G11">
        <v>3.5</v>
      </c>
      <c r="H11">
        <v>6000</v>
      </c>
      <c r="I11">
        <v>18.5</v>
      </c>
      <c r="J11">
        <v>1850</v>
      </c>
      <c r="K11" t="s">
        <v>25</v>
      </c>
      <c r="L11" t="s">
        <v>46</v>
      </c>
      <c r="M11" t="s">
        <v>47</v>
      </c>
    </row>
    <row r="12" spans="1:13" x14ac:dyDescent="0.3">
      <c r="A12" t="s">
        <v>48</v>
      </c>
      <c r="B12" t="s">
        <v>49</v>
      </c>
      <c r="C12">
        <v>6.2</v>
      </c>
      <c r="D12">
        <v>38.200000000000003</v>
      </c>
      <c r="E12">
        <v>1700</v>
      </c>
      <c r="F12">
        <v>2200</v>
      </c>
      <c r="G12">
        <v>3.5</v>
      </c>
      <c r="H12">
        <v>6000</v>
      </c>
      <c r="I12">
        <v>17.5</v>
      </c>
      <c r="J12">
        <v>1900</v>
      </c>
      <c r="K12" t="s">
        <v>15</v>
      </c>
      <c r="L12" t="s">
        <v>50</v>
      </c>
      <c r="M12" t="s">
        <v>51</v>
      </c>
    </row>
    <row r="13" spans="1:13" x14ac:dyDescent="0.3">
      <c r="A13" t="s">
        <v>48</v>
      </c>
      <c r="B13" t="s">
        <v>52</v>
      </c>
      <c r="C13">
        <v>6.5</v>
      </c>
      <c r="D13">
        <v>38.5</v>
      </c>
      <c r="E13">
        <v>1600</v>
      </c>
      <c r="F13">
        <v>2100</v>
      </c>
      <c r="G13">
        <v>2.5</v>
      </c>
      <c r="H13">
        <v>4300</v>
      </c>
      <c r="I13">
        <v>18</v>
      </c>
      <c r="J13">
        <v>1850</v>
      </c>
      <c r="K13" t="s">
        <v>15</v>
      </c>
      <c r="L13" t="s">
        <v>53</v>
      </c>
      <c r="M13" t="s">
        <v>54</v>
      </c>
    </row>
    <row r="14" spans="1:13" x14ac:dyDescent="0.3">
      <c r="A14" t="s">
        <v>48</v>
      </c>
      <c r="B14" t="s">
        <v>55</v>
      </c>
      <c r="C14">
        <v>9.3000000000000007</v>
      </c>
      <c r="D14">
        <v>42.1</v>
      </c>
      <c r="E14">
        <v>1500</v>
      </c>
      <c r="F14">
        <v>2000</v>
      </c>
      <c r="G14">
        <v>1.5</v>
      </c>
      <c r="H14">
        <v>2600</v>
      </c>
      <c r="I14">
        <v>18.5</v>
      </c>
      <c r="J14">
        <v>1700</v>
      </c>
      <c r="K14" t="s">
        <v>25</v>
      </c>
      <c r="L14" t="s">
        <v>56</v>
      </c>
      <c r="M14" t="s">
        <v>57</v>
      </c>
    </row>
    <row r="15" spans="1:13" x14ac:dyDescent="0.3">
      <c r="A15" t="s">
        <v>48</v>
      </c>
      <c r="B15" t="s">
        <v>58</v>
      </c>
      <c r="C15">
        <v>7.3</v>
      </c>
      <c r="D15">
        <v>36.200000000000003</v>
      </c>
      <c r="E15">
        <v>1400</v>
      </c>
      <c r="F15">
        <v>1900</v>
      </c>
      <c r="G15">
        <v>0.5</v>
      </c>
      <c r="H15">
        <v>860</v>
      </c>
      <c r="I15">
        <v>18.2</v>
      </c>
      <c r="J15">
        <v>2000</v>
      </c>
      <c r="K15" t="s">
        <v>25</v>
      </c>
      <c r="L15" t="s">
        <v>59</v>
      </c>
      <c r="M15" t="s">
        <v>60</v>
      </c>
    </row>
    <row r="16" spans="1:13" x14ac:dyDescent="0.3">
      <c r="A16" t="s">
        <v>61</v>
      </c>
      <c r="B16" t="s">
        <v>62</v>
      </c>
      <c r="C16">
        <v>-0.5</v>
      </c>
      <c r="D16">
        <v>37</v>
      </c>
      <c r="E16">
        <v>1500</v>
      </c>
      <c r="F16">
        <v>2100</v>
      </c>
      <c r="G16">
        <v>3</v>
      </c>
      <c r="H16">
        <v>5100</v>
      </c>
      <c r="I16">
        <v>18.5</v>
      </c>
      <c r="J16">
        <v>1200</v>
      </c>
      <c r="K16" t="s">
        <v>15</v>
      </c>
      <c r="L16" t="s">
        <v>63</v>
      </c>
      <c r="M16" t="s">
        <v>64</v>
      </c>
    </row>
    <row r="17" spans="1:13" x14ac:dyDescent="0.3">
      <c r="A17" t="s">
        <v>61</v>
      </c>
      <c r="B17" t="s">
        <v>65</v>
      </c>
      <c r="C17">
        <v>-0.2</v>
      </c>
      <c r="D17">
        <v>35.799999999999997</v>
      </c>
      <c r="E17">
        <v>1400</v>
      </c>
      <c r="F17">
        <v>1900</v>
      </c>
      <c r="G17">
        <v>1.5</v>
      </c>
      <c r="H17">
        <v>2600</v>
      </c>
      <c r="I17">
        <v>19</v>
      </c>
      <c r="J17">
        <v>1150</v>
      </c>
      <c r="K17" t="s">
        <v>25</v>
      </c>
      <c r="L17" t="s">
        <v>66</v>
      </c>
      <c r="M17" t="s">
        <v>67</v>
      </c>
    </row>
    <row r="18" spans="1:13" x14ac:dyDescent="0.3">
      <c r="A18" t="s">
        <v>68</v>
      </c>
      <c r="B18" t="s">
        <v>69</v>
      </c>
      <c r="C18">
        <v>9.6</v>
      </c>
      <c r="D18">
        <v>-84</v>
      </c>
      <c r="E18">
        <v>1300</v>
      </c>
      <c r="F18">
        <v>1700</v>
      </c>
      <c r="G18">
        <v>4</v>
      </c>
      <c r="H18">
        <v>6900</v>
      </c>
      <c r="I18">
        <v>19.5</v>
      </c>
      <c r="J18">
        <v>2200</v>
      </c>
      <c r="K18" t="s">
        <v>15</v>
      </c>
      <c r="L18" t="s">
        <v>70</v>
      </c>
      <c r="M18" t="s">
        <v>71</v>
      </c>
    </row>
    <row r="19" spans="1:13" x14ac:dyDescent="0.3">
      <c r="A19" t="s">
        <v>68</v>
      </c>
      <c r="B19" t="s">
        <v>72</v>
      </c>
      <c r="C19">
        <v>10</v>
      </c>
      <c r="D19">
        <v>-84.4</v>
      </c>
      <c r="E19">
        <v>1200</v>
      </c>
      <c r="F19">
        <v>1600</v>
      </c>
      <c r="G19">
        <v>3.5</v>
      </c>
      <c r="H19">
        <v>6000</v>
      </c>
      <c r="I19">
        <v>19.8</v>
      </c>
      <c r="J19">
        <v>2100</v>
      </c>
      <c r="K19" t="s">
        <v>25</v>
      </c>
      <c r="L19" t="s">
        <v>73</v>
      </c>
      <c r="M19" t="s">
        <v>74</v>
      </c>
    </row>
    <row r="20" spans="1:13" x14ac:dyDescent="0.3">
      <c r="A20" t="s">
        <v>75</v>
      </c>
      <c r="B20" t="s">
        <v>76</v>
      </c>
      <c r="C20">
        <v>15.2</v>
      </c>
      <c r="D20">
        <v>-92.5</v>
      </c>
      <c r="E20">
        <v>1000</v>
      </c>
      <c r="F20">
        <v>1600</v>
      </c>
      <c r="G20">
        <v>4</v>
      </c>
      <c r="H20">
        <v>6900</v>
      </c>
      <c r="I20">
        <v>20</v>
      </c>
      <c r="J20">
        <v>1900</v>
      </c>
      <c r="K20" t="s">
        <v>15</v>
      </c>
      <c r="L20" t="s">
        <v>77</v>
      </c>
      <c r="M20" t="s">
        <v>78</v>
      </c>
    </row>
    <row r="21" spans="1:13" x14ac:dyDescent="0.3">
      <c r="A21" t="s">
        <v>75</v>
      </c>
      <c r="B21" t="s">
        <v>79</v>
      </c>
      <c r="C21">
        <v>19.5</v>
      </c>
      <c r="D21">
        <v>-97</v>
      </c>
      <c r="E21">
        <v>900</v>
      </c>
      <c r="F21">
        <v>1500</v>
      </c>
      <c r="G21">
        <v>2</v>
      </c>
      <c r="H21">
        <v>3400</v>
      </c>
      <c r="I21">
        <v>20.5</v>
      </c>
      <c r="J21">
        <v>1850</v>
      </c>
      <c r="K21" t="s">
        <v>25</v>
      </c>
      <c r="L21" t="s">
        <v>80</v>
      </c>
      <c r="M21" t="s">
        <v>81</v>
      </c>
    </row>
    <row r="22" spans="1:13" x14ac:dyDescent="0.3">
      <c r="A22" t="s">
        <v>82</v>
      </c>
      <c r="B22" t="s">
        <v>83</v>
      </c>
      <c r="C22">
        <v>-6.5</v>
      </c>
      <c r="D22">
        <v>-78.8</v>
      </c>
      <c r="E22">
        <v>1200</v>
      </c>
      <c r="F22">
        <v>1800</v>
      </c>
      <c r="G22">
        <v>2.5</v>
      </c>
      <c r="H22">
        <v>4300</v>
      </c>
      <c r="I22">
        <v>19.5</v>
      </c>
      <c r="J22">
        <v>1700</v>
      </c>
      <c r="K22" t="s">
        <v>15</v>
      </c>
      <c r="L22" t="s">
        <v>84</v>
      </c>
      <c r="M22" t="s">
        <v>85</v>
      </c>
    </row>
    <row r="23" spans="1:13" x14ac:dyDescent="0.3">
      <c r="A23" t="s">
        <v>86</v>
      </c>
      <c r="B23" t="s">
        <v>87</v>
      </c>
      <c r="C23">
        <v>14.8</v>
      </c>
      <c r="D23">
        <v>-88.8</v>
      </c>
      <c r="E23">
        <v>1100</v>
      </c>
      <c r="F23">
        <v>1700</v>
      </c>
      <c r="G23">
        <v>1.8</v>
      </c>
      <c r="H23">
        <v>3100</v>
      </c>
      <c r="I23">
        <v>20</v>
      </c>
      <c r="J23">
        <v>1800</v>
      </c>
      <c r="K23" t="s">
        <v>15</v>
      </c>
      <c r="L23" t="s">
        <v>88</v>
      </c>
      <c r="M23" t="s">
        <v>89</v>
      </c>
    </row>
    <row r="24" spans="1:13" x14ac:dyDescent="0.3">
      <c r="A24" t="s">
        <v>90</v>
      </c>
      <c r="B24" t="s">
        <v>91</v>
      </c>
      <c r="C24">
        <v>-1.7</v>
      </c>
      <c r="D24">
        <v>29.7</v>
      </c>
      <c r="E24">
        <v>1700</v>
      </c>
      <c r="F24">
        <v>2200</v>
      </c>
      <c r="G24">
        <v>2</v>
      </c>
      <c r="H24">
        <v>3400</v>
      </c>
      <c r="I24">
        <v>17.5</v>
      </c>
      <c r="J24">
        <v>1400</v>
      </c>
      <c r="K24" t="s">
        <v>15</v>
      </c>
      <c r="L24" t="s">
        <v>91</v>
      </c>
      <c r="M24" t="s">
        <v>92</v>
      </c>
    </row>
    <row r="25" spans="1:13" x14ac:dyDescent="0.3">
      <c r="A25" t="s">
        <v>93</v>
      </c>
      <c r="B25" t="s">
        <v>94</v>
      </c>
      <c r="C25">
        <v>-3.4</v>
      </c>
      <c r="D25">
        <v>37.299999999999997</v>
      </c>
      <c r="E25">
        <v>1300</v>
      </c>
      <c r="F25">
        <v>1900</v>
      </c>
      <c r="G25">
        <v>2</v>
      </c>
      <c r="H25">
        <v>3400</v>
      </c>
      <c r="I25">
        <v>19</v>
      </c>
      <c r="J25">
        <v>1300</v>
      </c>
      <c r="K25" t="s">
        <v>15</v>
      </c>
      <c r="L25" t="s">
        <v>95</v>
      </c>
      <c r="M25" t="s">
        <v>96</v>
      </c>
    </row>
    <row r="26" spans="1:13" x14ac:dyDescent="0.3">
      <c r="A26" t="s">
        <v>97</v>
      </c>
      <c r="B26" t="s">
        <v>98</v>
      </c>
      <c r="C26">
        <v>4.5</v>
      </c>
      <c r="D26">
        <v>96.8</v>
      </c>
      <c r="E26">
        <v>1000</v>
      </c>
      <c r="F26">
        <v>1500</v>
      </c>
      <c r="G26">
        <v>4</v>
      </c>
      <c r="H26">
        <v>6900</v>
      </c>
      <c r="I26">
        <v>21</v>
      </c>
      <c r="J26">
        <v>2400</v>
      </c>
      <c r="K26" t="s">
        <v>15</v>
      </c>
      <c r="L26" t="s">
        <v>99</v>
      </c>
      <c r="M26" t="s">
        <v>100</v>
      </c>
    </row>
    <row r="27" spans="1:13" x14ac:dyDescent="0.3">
      <c r="A27" t="s">
        <v>97</v>
      </c>
      <c r="B27" t="s">
        <v>101</v>
      </c>
      <c r="C27">
        <v>-7</v>
      </c>
      <c r="D27">
        <v>107.5</v>
      </c>
      <c r="E27">
        <v>1000</v>
      </c>
      <c r="F27">
        <v>1400</v>
      </c>
      <c r="G27">
        <v>2</v>
      </c>
      <c r="H27">
        <v>3400</v>
      </c>
      <c r="I27">
        <v>21.5</v>
      </c>
      <c r="J27">
        <v>2300</v>
      </c>
      <c r="K27" t="s">
        <v>25</v>
      </c>
      <c r="L27" t="s">
        <v>102</v>
      </c>
      <c r="M27" t="s">
        <v>103</v>
      </c>
    </row>
    <row r="28" spans="1:13" x14ac:dyDescent="0.3">
      <c r="A28" t="s">
        <v>104</v>
      </c>
      <c r="B28" t="s">
        <v>105</v>
      </c>
      <c r="C28">
        <v>22.8</v>
      </c>
      <c r="D28">
        <v>100.9</v>
      </c>
      <c r="E28">
        <v>1200</v>
      </c>
      <c r="F28">
        <v>1800</v>
      </c>
      <c r="G28">
        <v>2</v>
      </c>
      <c r="H28">
        <v>3400</v>
      </c>
      <c r="I28">
        <v>19.5</v>
      </c>
      <c r="J28">
        <v>1600</v>
      </c>
      <c r="K28" t="s">
        <v>15</v>
      </c>
      <c r="L28" t="s">
        <v>106</v>
      </c>
      <c r="M28" t="s">
        <v>107</v>
      </c>
    </row>
    <row r="29" spans="1:13" x14ac:dyDescent="0.3">
      <c r="A29" t="s">
        <v>108</v>
      </c>
      <c r="B29" t="s">
        <v>62</v>
      </c>
      <c r="C29">
        <v>12.7</v>
      </c>
      <c r="D29">
        <v>108</v>
      </c>
      <c r="E29">
        <v>500</v>
      </c>
      <c r="F29">
        <v>900</v>
      </c>
      <c r="G29">
        <v>1.5</v>
      </c>
      <c r="H29">
        <v>2600</v>
      </c>
      <c r="I29">
        <v>22</v>
      </c>
      <c r="J29">
        <v>2000</v>
      </c>
      <c r="K29" t="s">
        <v>15</v>
      </c>
      <c r="L29" t="s">
        <v>109</v>
      </c>
      <c r="M29" t="s">
        <v>110</v>
      </c>
    </row>
    <row r="30" spans="1:13" x14ac:dyDescent="0.3">
      <c r="H30">
        <f>SUM(H2:H29)</f>
        <v>152460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2025-11-05T19:00:49Z</dcterms:created>
  <dcterms:modified xsi:type="dcterms:W3CDTF">2025-12-04T18:59:25Z</dcterms:modified>
</cp:coreProperties>
</file>